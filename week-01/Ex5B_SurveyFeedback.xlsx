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/>
  <xr:revisionPtr revIDLastSave="0" documentId="8_{E92A327F-7ACF-4A14-AE2B-43AD9E6C0FE2}" xr6:coauthVersionLast="47" xr6:coauthVersionMax="47" xr10:uidLastSave="{00000000-0000-0000-0000-000000000000}"/>
  <bookViews>
    <workbookView xWindow="-103" yWindow="-103" windowWidth="33120" windowHeight="18000" xr2:uid="{64C6EEBC-B2BD-47A9-BB2B-55D76120BFAD}"/>
  </bookViews>
  <sheets>
    <sheet name="Responses" sheetId="17" r:id="rId1"/>
    <sheet name="Chart" sheetId="22" r:id="rId2"/>
    <sheet name="Summary" sheetId="18" r:id="rId3"/>
    <sheet name="Likes" sheetId="19" r:id="rId4"/>
    <sheet name="Improvements" sheetId="20" r:id="rId5"/>
    <sheet name="Comments" sheetId="21" r:id="rId6"/>
  </sheets>
  <calcPr calcId="191028"/>
  <pivotCaches>
    <pivotCache cacheId="49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7" l="1"/>
  <c r="F10" i="17"/>
  <c r="F9" i="17"/>
  <c r="E2" i="17"/>
  <c r="E3" i="17"/>
  <c r="E4" i="17"/>
  <c r="E5" i="17"/>
  <c r="E6" i="17"/>
  <c r="A2" i="21" a="1"/>
  <c r="A2" i="21" s="1"/>
  <c r="B2" i="21" a="1"/>
  <c r="B2" i="21" s="1"/>
  <c r="A2" i="20" a="1"/>
  <c r="A2" i="20" s="1"/>
  <c r="B2" i="20" a="1"/>
  <c r="B2" i="20" s="1"/>
  <c r="A2" i="19" a="1"/>
  <c r="A2" i="19" s="1"/>
  <c r="B2" i="19" a="1"/>
  <c r="B2" i="19" s="1"/>
  <c r="B36" i="18"/>
  <c r="B35" i="18"/>
  <c r="B34" i="18"/>
  <c r="B29" i="18"/>
  <c r="B28" i="18"/>
  <c r="B27" i="18"/>
  <c r="B22" i="18"/>
  <c r="B21" i="18"/>
  <c r="B20" i="18"/>
  <c r="A13" i="18" a="1"/>
  <c r="A13" i="18" s="1"/>
  <c r="B13" i="18" a="1"/>
  <c r="B13" i="18" s="1"/>
  <c r="C13" i="18" a="1"/>
  <c r="C13" i="18" s="1"/>
  <c r="A6" i="18" a="1"/>
  <c r="A6" i="18" s="1"/>
  <c r="B6" i="18" a="1"/>
  <c r="B6" i="18" s="1"/>
  <c r="C6" i="18" a="1"/>
  <c r="C6" i="18" s="1"/>
  <c r="B2" i="18"/>
  <c r="A2" i="18"/>
  <c r="E7" i="1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<sst xmlns="http://schemas.openxmlformats.org/spreadsheetml/2006/main" count="95" uniqueCount="63">
  <si>
    <t>Id</t>
  </si>
  <si>
    <t>Start time</t>
  </si>
  <si>
    <t>Completion time</t>
  </si>
  <si>
    <t>Email</t>
  </si>
  <si>
    <t>Time to complete</t>
  </si>
  <si>
    <t>How often do you visit Starbucks?</t>
  </si>
  <si>
    <t>What did you enjoy most about your visit?</t>
  </si>
  <si>
    <t>What could Starbucks improve?</t>
  </si>
  <si>
    <t>What do you usually order at Starbucks? </t>
  </si>
  <si>
    <t>How much do you typically spent per visit?</t>
  </si>
  <si>
    <t>What type of rewards would you prefer from Starbucks Rewards? </t>
  </si>
  <si>
    <t>How likely are you to continue using or join Starbucks Rewards?</t>
  </si>
  <si>
    <t>How satisfied were you with your most recent Starbucks visit? </t>
  </si>
  <si>
    <t>anonymous</t>
  </si>
  <si>
    <t>Monthly</t>
  </si>
  <si>
    <t>Drink quality;Customer service</t>
  </si>
  <si>
    <t>more cushy seats</t>
  </si>
  <si>
    <t>Coffee (hot)</t>
  </si>
  <si>
    <t>$5-$10</t>
  </si>
  <si>
    <t>Discounts on purchases</t>
  </si>
  <si>
    <t>Very satisfied</t>
  </si>
  <si>
    <t>Seasonal</t>
  </si>
  <si>
    <t>Food options;Drink quality</t>
  </si>
  <si>
    <t>I love the atmosphere in the cafe, but I do wish the music was louder</t>
  </si>
  <si>
    <t>Cold drinks (iced coffee, refreshers, etc.)</t>
  </si>
  <si>
    <t>$11-$20</t>
  </si>
  <si>
    <t>Somewhat satisfied</t>
  </si>
  <si>
    <t>Customer service</t>
  </si>
  <si>
    <t>service could be better, the staff was rude</t>
  </si>
  <si>
    <t>Free drinks</t>
  </si>
  <si>
    <t>Neither satisfied nor dissatisfied</t>
  </si>
  <si>
    <t>customer service</t>
  </si>
  <si>
    <t>Free food items</t>
  </si>
  <si>
    <t>Drink quality</t>
  </si>
  <si>
    <t>make the drinks cheaper</t>
  </si>
  <si>
    <t>Monthly:</t>
  </si>
  <si>
    <t>Seasonal:</t>
  </si>
  <si>
    <t>Total:</t>
  </si>
  <si>
    <t xml:space="preserve">Count </t>
  </si>
  <si>
    <t>Grand Total</t>
  </si>
  <si>
    <t>Overall Satisfaction Rate (%)</t>
  </si>
  <si>
    <t>Response Count</t>
  </si>
  <si>
    <t>Overall Satisfaction by Gender</t>
  </si>
  <si>
    <t>Gender</t>
  </si>
  <si>
    <t>Overall Satisfaction by Relationship</t>
  </si>
  <si>
    <t>Relationship with Our Organization</t>
  </si>
  <si>
    <t>Customer Support &amp; Interaction Breakdown</t>
  </si>
  <si>
    <t>Area</t>
  </si>
  <si>
    <t>Satisfaction Rate</t>
  </si>
  <si>
    <t>Responsiveness</t>
  </si>
  <si>
    <t>Resolution Timeliness</t>
  </si>
  <si>
    <t>Customer Valuation</t>
  </si>
  <si>
    <t>Ease of Doing Business Breakdown</t>
  </si>
  <si>
    <t>Navigation</t>
  </si>
  <si>
    <t>Ordering Process</t>
  </si>
  <si>
    <t>Information Accessibility</t>
  </si>
  <si>
    <t>Communication &amp; Transparency Breakdown</t>
  </si>
  <si>
    <t>Effective Communication</t>
  </si>
  <si>
    <t>Timely Updates</t>
  </si>
  <si>
    <t>Clarity of Information</t>
  </si>
  <si>
    <t>What did you like most about our service experience?</t>
  </si>
  <si>
    <t>Which areas of our service could be improved?</t>
  </si>
  <si>
    <t>Any additional suggestions for enhancing our service?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</si>
</sst>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B9CD3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D0E8D0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E1D5E7"/>
        <bgColor indexed="64"/>
      </patternFill>
    </fill>
    <fill>
      <patternFill patternType="solid">
        <fgColor rgb="FFFF8F00"/>
        <bgColor indexed="64"/>
      </patternFill>
    </fill>
    <fill>
      <patternFill patternType="solid">
        <fgColor rgb="FFFFE0B2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9" fontId="3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4" fillId="6" borderId="0" xfId="0" applyFont="1" applyFill="1"/>
    <xf numFmtId="9" fontId="4" fillId="6" borderId="0" xfId="0" applyNumberFormat="1" applyFont="1" applyFill="1"/>
    <xf numFmtId="9" fontId="0" fillId="0" borderId="0" xfId="0" applyNumberFormat="1"/>
    <xf numFmtId="0" fontId="1" fillId="8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4" borderId="0" xfId="0" applyFont="1" applyFill="1" applyAlignment="1">
      <alignment vertical="center"/>
    </xf>
    <xf numFmtId="0" fontId="5" fillId="2" borderId="0" xfId="0" applyFont="1" applyFill="1"/>
    <xf numFmtId="49" fontId="0" fillId="0" borderId="0" xfId="0" applyNumberFormat="1"/>
    <xf numFmtId="164" fontId="0" fillId="0" borderId="0" xfId="0" applyNumberFormat="1"/>
    <xf numFmtId="0" fontId="6" fillId="0" borderId="1" xfId="0" applyFont="1" applyBorder="1"/>
    <xf numFmtId="0" fontId="0" fillId="0" borderId="0" xfId="0" pivotButton="1"/>
    <xf numFmtId="0" fontId="2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</cellXfs>
  <cellStyles count="1">
    <cellStyle name="Normal" xfId="0" builtinId="0"/>
  </cellStyles>
  <dxfs count="23"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64" formatCode="[$-F400]h:mm:ss\ AM/PM"/>
    </dxf>
    <dxf>
      <numFmt numFmtId="164" formatCode="[$-F400]h:mm:ss\ AM/PM"/>
    </dxf>
    <dxf>
      <numFmt numFmtId="30" formatCode="@"/>
    </dxf>
    <dxf>
      <numFmt numFmtId="30" formatCode="@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[5B_SurveyFeedback.xlsx]Chart!PivotTable1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Starbucks Visit Frequency</a:t>
            </a:r>
          </a:p>
        </c:rich>
      </c:tx>
      <c:layout>
        <c:manualLayout>
          <c:xMode val="edge"/>
          <c:yMode val="edge"/>
          <c:x val="0.29200077663631896"/>
          <c:y val="2.9920928056193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Chart!$A$3:$A$5</c:f>
              <c:strCache>
                <c:ptCount val="2"/>
                <c:pt idx="0">
                  <c:v>Monthly</c:v>
                </c:pt>
                <c:pt idx="1">
                  <c:v>Seasonal</c:v>
                </c:pt>
              </c:strCache>
            </c:strRef>
          </c:cat>
          <c:val>
            <c:numRef>
              <c:f>Chart!$B$3:$B$5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E-409D-9878-B9CA908E4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511687"/>
        <c:axId val="1826431495"/>
      </c:barChart>
      <c:catAx>
        <c:axId val="1797511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431495"/>
        <c:crosses val="autoZero"/>
        <c:auto val="1"/>
        <c:lblAlgn val="ctr"/>
        <c:lblOffset val="100"/>
        <c:noMultiLvlLbl val="0"/>
      </c:catAx>
      <c:valAx>
        <c:axId val="1826431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511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114300</xdr:rowOff>
    </xdr:from>
    <xdr:to>
      <xdr:col>1</xdr:col>
      <xdr:colOff>2266950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75519-4143-0F5A-65E6-A59C1F589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1910443</xdr:colOff>
      <xdr:row>0</xdr:row>
      <xdr:rowOff>127000</xdr:rowOff>
    </xdr:from>
    <xdr:to>
      <xdr:col>9</xdr:col>
      <xdr:colOff>551543</xdr:colOff>
      <xdr:row>14</xdr:row>
      <xdr:rowOff>47171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EE1387-642F-C5FD-0189-EFF8F82F9969}"/>
            </a:ext>
          </a:extLst>
        </xdr:cNvPr>
        <xdr:cNvSpPr txBox="1"/>
      </xdr:nvSpPr>
      <xdr:spPr>
        <a:xfrm>
          <a:off x="11430000" y="127000"/>
          <a:ext cx="5080000" cy="5080000"/>
        </a:xfrm>
        <a:prstGeom prst="rect">
          <a:avLst/>
        </a:prstGeom>
        <a:solidFill>
          <a:srgbClr val="D3D3D3"/>
        </a:solidFill>
        <a:ln>
          <a:solidFill>
            <a:prstClr val="black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📌 How to Navigate This Summary Sheet: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- Summary Overview: Displays the total number of responses and key metrics derived from your data.
- Breakdown Tables: Detailed insights based on the following areas: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Customer Support &amp; Interaction Breakdown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Ease of Doing Business Breakdown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Communication &amp; Transparency Breakdown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- Pivot Tables: Dynamic data analysis for the following categories: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Overall Satisfaction by Gender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Overall Satisfaction by Relationship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⭐ Tips: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- Click on the data cells to view the formulas and related questions. You can customize these formulas to map to other questions as needed.
 - Satisfaction rate = Percentage of responses that selected 'Very Satisfied' or 'Satisfied'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4.730172453703" createdVersion="8" refreshedVersion="8" minRefreshableVersion="3" recordCount="5" xr:uid="{81EBC84E-F59C-4BA2-B800-E7A8871117FF}">
  <cacheSource type="worksheet">
    <worksheetSource ref="A1:M6" sheet="Responses"/>
  </cacheSource>
  <cacheFields count="13">
    <cacheField name="Id" numFmtId="0">
      <sharedItems containsSemiMixedTypes="0" containsString="0" containsNumber="1" containsInteger="1" minValue="1" maxValue="5"/>
    </cacheField>
    <cacheField name="Start time" numFmtId="164">
      <sharedItems containsSemiMixedTypes="0" containsNonDate="0" containsDate="1" containsString="0" minDate="2026-04-10T11:59:36" maxDate="2026-04-10T20:41:16"/>
    </cacheField>
    <cacheField name="Completion time" numFmtId="164">
      <sharedItems containsSemiMixedTypes="0" containsNonDate="0" containsDate="1" containsString="0" minDate="2026-04-10T12:00:25" maxDate="2026-04-10T20:42:41"/>
    </cacheField>
    <cacheField name="Email" numFmtId="49">
      <sharedItems/>
    </cacheField>
    <cacheField name="Time to complete" numFmtId="164">
      <sharedItems containsSemiMixedTypes="0" containsNonDate="0" containsDate="1" containsString="0" minDate="1899-12-30T00:00:43" maxDate="1899-12-30T00:03:58"/>
    </cacheField>
    <cacheField name="How often do you visit Starbucks?" numFmtId="49">
      <sharedItems count="2">
        <s v="Monthly"/>
        <s v="Seasonal"/>
      </sharedItems>
    </cacheField>
    <cacheField name="What did you enjoy most about your visit?" numFmtId="0">
      <sharedItems/>
    </cacheField>
    <cacheField name="What could Starbucks improve?" numFmtId="0">
      <sharedItems/>
    </cacheField>
    <cacheField name="What do you usually order at Starbucks? " numFmtId="0">
      <sharedItems/>
    </cacheField>
    <cacheField name="How much do you typically spent per visit?" numFmtId="0">
      <sharedItems/>
    </cacheField>
    <cacheField name="What type of rewards would you prefer from Starbucks Rewards? " numFmtId="0">
      <sharedItems/>
    </cacheField>
    <cacheField name="How likely are you to continue using or join Starbucks Rewards?" numFmtId="0">
      <sharedItems containsSemiMixedTypes="0" containsString="0" containsNumber="1" containsInteger="1" minValue="3" maxValue="4"/>
    </cacheField>
    <cacheField name="How satisfied were you with your most recent Starbucks visit? 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d v="2026-04-10T11:59:36"/>
    <d v="2026-04-10T12:00:25"/>
    <s v="anonymous"/>
    <d v="1899-12-30T00:00:49"/>
    <x v="0"/>
    <s v="Drink quality;Customer service"/>
    <s v="more cushy seats"/>
    <s v="Coffee (hot)"/>
    <s v="$5-$10"/>
    <s v="Discounts on purchases"/>
    <n v="4"/>
    <s v="Very satisfied"/>
  </r>
  <r>
    <n v="2"/>
    <d v="2026-04-10T12:24:01"/>
    <d v="2026-04-10T12:26:46"/>
    <s v="anonymous"/>
    <d v="1899-12-30T00:02:45"/>
    <x v="1"/>
    <s v="Food options;Drink quality"/>
    <s v="I love the atmosphere in the cafe, but I do wish the music was louder"/>
    <s v="Cold drinks (iced coffee, refreshers, etc.)"/>
    <s v="$11-$20"/>
    <s v="Discounts on purchases"/>
    <n v="4"/>
    <s v="Somewhat satisfied"/>
  </r>
  <r>
    <n v="3"/>
    <d v="2026-04-10T13:52:34"/>
    <d v="2026-04-10T13:56:32"/>
    <s v="anonymous"/>
    <d v="1899-12-30T00:03:58"/>
    <x v="0"/>
    <s v="Customer service"/>
    <s v="service could be better, the staff was rude"/>
    <s v="Cold drinks (iced coffee, refreshers, etc.)"/>
    <s v="$5-$10"/>
    <s v="Free drinks"/>
    <n v="3"/>
    <s v="Neither satisfied nor dissatisfied"/>
  </r>
  <r>
    <n v="4"/>
    <d v="2026-04-10T14:56:36"/>
    <d v="2026-04-10T14:57:19"/>
    <s v="anonymous"/>
    <d v="1899-12-30T00:00:43"/>
    <x v="0"/>
    <s v="Food options;Drink quality"/>
    <s v="customer service"/>
    <s v="Cold drinks (iced coffee, refreshers, etc.)"/>
    <s v="$11-$20"/>
    <s v="Free food items"/>
    <n v="4"/>
    <s v="Somewhat satisfied"/>
  </r>
  <r>
    <n v="5"/>
    <d v="2026-04-10T20:41:16"/>
    <d v="2026-04-10T20:42:41"/>
    <s v="anonymous"/>
    <d v="1899-12-30T00:01:25"/>
    <x v="1"/>
    <s v="Drink quality"/>
    <s v="make the drinks cheaper"/>
    <s v="Cold drinks (iced coffee, refreshers, etc.)"/>
    <s v="$5-$10"/>
    <s v="Free food items"/>
    <n v="4"/>
    <s v="Neither satisfied nor dissatisfi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52988-2018-486E-A548-0F1A1C94D8E3}" name="PivotTable1" cacheId="4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5" firstHeaderRow="1" firstDataRow="1" firstDataCol="1"/>
  <pivotFields count="13">
    <pivotField compact="0" outline="0" showAll="0"/>
    <pivotField compact="0" numFmtId="164" outline="0" showAll="0"/>
    <pivotField compact="0" numFmtId="164" outline="0" showAll="0"/>
    <pivotField compact="0" outline="0" showAll="0"/>
    <pivotField compact="0" numFmtId="164" outline="0" showAll="0"/>
    <pivotField axis="axisRow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7" totalsRowCount="1">
  <autoFilter ref="A1:M6" xr:uid="{00000000-0009-0000-0100-000001000000}"/>
  <tableColumns count="13">
    <tableColumn id="1" xr3:uid="{00000000-0010-0000-0000-000001000000}" name="Id" dataDxfId="21" totalsRowDxfId="2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9" totalsRowDxfId="20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7" totalsRowDxfId="1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Time to complete" totalsRowFunction="custom" dataDxfId="15" totalsRowDxfId="16">
      <calculatedColumnFormula>C2-B2</calculatedColumnFormula>
      <totalsRowFormula>AVERAGE(E2:E6)</totalsRowFormula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often do you visit Starbucks?" dataDxfId="14">
      <extLst>
        <ext xmlns:xlmsforms="http://schemas.microsoft.com/office/spreadsheetml/2023/msForms" uri="{FCC71383-01E1-4257-9335-427F07BE8D7F}">
          <xlmsforms:question id="r37e7030182c930139836db327348c8f7"/>
        </ext>
      </extLst>
    </tableColumn>
    <tableColumn id="22" xr3:uid="{E1524AB0-A563-4D57-ACD9-C48FB89D890C}" name="What did you enjoy most about your visit?" dataDxfId="12" totalsRowDxfId="13">
      <extLst>
        <ext xmlns:xlmsforms="http://schemas.microsoft.com/office/spreadsheetml/2023/msForms" uri="{FCC71383-01E1-4257-9335-427F07BE8D7F}">
          <xlmsforms:question id="r0ad4a081739949c08007fb17d0fae32d"/>
        </ext>
      </extLst>
    </tableColumn>
    <tableColumn id="23" xr3:uid="{4DC43799-E2E0-4F8F-893F-79450DFB16D3}" name="What could Starbucks improve?" dataDxfId="10" totalsRowDxfId="11">
      <extLst>
        <ext xmlns:xlmsforms="http://schemas.microsoft.com/office/spreadsheetml/2023/msForms" uri="{FCC71383-01E1-4257-9335-427F07BE8D7F}">
          <xlmsforms:question id="rb90c33f7fa084203942c897c6351baaf"/>
        </ext>
      </extLst>
    </tableColumn>
    <tableColumn id="24" xr3:uid="{9184FCF9-B05F-4F6E-80C4-2466EC7573EA}" name="What do you usually order at Starbucks? " dataDxfId="8" totalsRowDxfId="9">
      <extLst>
        <ext xmlns:xlmsforms="http://schemas.microsoft.com/office/spreadsheetml/2023/msForms" uri="{FCC71383-01E1-4257-9335-427F07BE8D7F}">
          <xlmsforms:question id="rdd6acf6e77ae4b478117ded37d5452e3"/>
        </ext>
      </extLst>
    </tableColumn>
    <tableColumn id="25" xr3:uid="{FCD03DEF-C368-4681-806B-5D28B30A1BE3}" name="How much do you typically spent per visit?" dataDxfId="6" totalsRowDxfId="7">
      <extLst>
        <ext xmlns:xlmsforms="http://schemas.microsoft.com/office/spreadsheetml/2023/msForms" uri="{FCC71383-01E1-4257-9335-427F07BE8D7F}">
          <xlmsforms:question id="r61edc40afc0340e88ae66f1985561c3a"/>
        </ext>
      </extLst>
    </tableColumn>
    <tableColumn id="26" xr3:uid="{50107C4F-9E35-4C89-9479-B7706664361F}" name="What type of rewards would you prefer from Starbucks Rewards? " dataDxfId="4" totalsRowDxfId="5">
      <extLst>
        <ext xmlns:xlmsforms="http://schemas.microsoft.com/office/spreadsheetml/2023/msForms" uri="{FCC71383-01E1-4257-9335-427F07BE8D7F}">
          <xlmsforms:question id="ra7edd6d4690147d485587a99328b4669"/>
        </ext>
      </extLst>
    </tableColumn>
    <tableColumn id="27" xr3:uid="{92A02A0B-EA71-44CF-8775-FC39D38B9FAD}" name="How likely are you to continue using or join Starbucks Rewards?" dataDxfId="2" totalsRowDxfId="3">
      <extLst>
        <ext xmlns:xlmsforms="http://schemas.microsoft.com/office/spreadsheetml/2023/msForms" uri="{FCC71383-01E1-4257-9335-427F07BE8D7F}">
          <xlmsforms:question id="rb6da2df1b3224c40a93c338c0bf7bdb5"/>
        </ext>
      </extLst>
    </tableColumn>
    <tableColumn id="8" xr3:uid="{00000000-0010-0000-0000-000008000000}" name="How satisfied were you with your most recent Starbucks visit? " dataDxfId="0" totalsRowDxfId="1">
      <extLst>
        <ext xmlns:xlmsforms="http://schemas.microsoft.com/office/spreadsheetml/2023/msForms" uri="{FCC71383-01E1-4257-9335-427F07BE8D7F}">
          <xlmsforms:question id="r71f38c569fa103b492a5c1c54acfa9d2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9AzXPZawCVBof0C3B04kmlUQllCWklDWlcyVUM3M09ENjE0T083WDdOOS4u" isFormConnected="1" maxResponseId="5" latestEventMarker="3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r37e7030182c930139836db327348c8f7</xlmsforms:syncedQuestionId>
        <xlmsforms:syncedQuestionId>rd47eaab4ffa2a0b590dae0b5c4e67c6d</xlmsforms:syncedQuestionId>
        <xlmsforms:syncedQuestionId>r71f38c569fa103b492a5c1c54acfa9d2</xlmsforms:syncedQuestionId>
        <xlmsforms:syncedQuestionId>r05fa99674c8adf25bc6d88e49ebd682a</xlmsforms:syncedQuestionId>
        <xlmsforms:syncedQuestionId>rc4ba68a0c7b0b973ba9886a220bf2ce7</xlmsforms:syncedQuestionId>
        <xlmsforms:syncedQuestionId>r4973e64df7dadb7fb93967639c7fc83b</xlmsforms:syncedQuestionId>
        <xlmsforms:syncedQuestionId>r044b12442a46ef2e822c76a8ade527ef</xlmsforms:syncedQuestionId>
        <xlmsforms:syncedQuestionId>rbf7bae9a69ebd6dfbb1f20a065616ec4</xlmsforms:syncedQuestionId>
        <xlmsforms:syncedQuestionId>r92f984be9f0118e18ca33c840893efda</xlmsforms:syncedQuestionId>
        <xlmsforms:syncedQuestionId>r9b1125245dbb498a85d4c0b4127aa1c8</xlmsforms:syncedQuestionId>
        <xlmsforms:syncedQuestionId>rc8a657a67f246e18964d81cdfb77390e</xlmsforms:syncedQuestionId>
        <xlmsforms:syncedQuestionId>r87d98dfa9474332c92fa3791d2e5bd6d</xlmsforms:syncedQuestionId>
        <xlmsforms:syncedQuestionId>rdb05bc279968e7ce9e33993f5e5dbea8</xlmsforms:syncedQuestionId>
        <xlmsforms:syncedQuestionId>r25416781abac7dcaa8e83b2e627854b7</xlmsforms:syncedQuestionId>
        <xlmsforms:syncedQuestionId>rfaa3be1de50cb2b8a76c5959f7d50456</xlmsforms:syncedQuestionId>
        <xlmsforms:syncedQuestionId>rdcf86d4d4e1ea268a658087d0509ba95</xlmsforms:syncedQuestionId>
        <xlmsforms:syncedQuestionId>r0ad4a081739949c08007fb17d0fae32d</xlmsforms:syncedQuestionId>
        <xlmsforms:syncedQuestionId>rb90c33f7fa084203942c897c6351baaf</xlmsforms:syncedQuestionId>
        <xlmsforms:syncedQuestionId>rdd6acf6e77ae4b478117ded37d5452e3</xlmsforms:syncedQuestionId>
        <xlmsforms:syncedQuestionId>r61edc40afc0340e88ae66f1985561c3a</xlmsforms:syncedQuestionId>
        <xlmsforms:syncedQuestionId>ra7edd6d4690147d485587a99328b4669</xlmsforms:syncedQuestionId>
        <xlmsforms:syncedQuestionId>rb6da2df1b3224c40a93c338c0bf7bdb5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616B-80E5-453C-8814-383396EBBE27}">
  <dimension ref="A1:M11"/>
  <sheetViews>
    <sheetView tabSelected="1" workbookViewId="0">
      <selection activeCell="B23" sqref="B23"/>
    </sheetView>
  </sheetViews>
  <sheetFormatPr defaultRowHeight="14.65"/>
  <cols>
    <col min="1" max="5" width="20" bestFit="1" customWidth="1"/>
    <col min="6" max="6" width="32.140625" customWidth="1"/>
    <col min="7" max="7" width="38" customWidth="1"/>
    <col min="8" max="8" width="57.7109375" customWidth="1"/>
    <col min="9" max="9" width="37.42578125" customWidth="1"/>
    <col min="10" max="10" width="38.140625" customWidth="1"/>
    <col min="11" max="12" width="56.28515625" customWidth="1"/>
    <col min="13" max="13" width="29.42578125" customWidth="1"/>
    <col min="14" max="21" width="20" bestFit="1" customWidth="1"/>
  </cols>
  <sheetData>
    <row r="1" spans="1:13" ht="15">
      <c r="A1" t="s">
        <v>0</v>
      </c>
      <c r="B1" t="s">
        <v>1</v>
      </c>
      <c r="C1" s="14" t="s">
        <v>2</v>
      </c>
      <c r="D1" t="s">
        <v>3</v>
      </c>
      <c r="E1" s="1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>
      <c r="A2">
        <v>1</v>
      </c>
      <c r="B2" s="14">
        <v>46122.499722222201</v>
      </c>
      <c r="C2" s="14">
        <v>46122.500289351898</v>
      </c>
      <c r="D2" s="13" t="s">
        <v>13</v>
      </c>
      <c r="E2" s="14">
        <f t="shared" ref="E2:E6" si="0">C2-B2</f>
        <v>5.6712969671934843E-4</v>
      </c>
      <c r="F2" s="13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4</v>
      </c>
      <c r="M2" s="13" t="s">
        <v>20</v>
      </c>
    </row>
    <row r="3" spans="1:13">
      <c r="A3">
        <v>2</v>
      </c>
      <c r="B3" s="14">
        <v>46122.516678240703</v>
      </c>
      <c r="C3" s="14">
        <v>46122.518587963001</v>
      </c>
      <c r="D3" s="13" t="s">
        <v>13</v>
      </c>
      <c r="E3" s="14">
        <f t="shared" si="0"/>
        <v>1.9097222975688055E-3</v>
      </c>
      <c r="F3" s="1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19</v>
      </c>
      <c r="L3">
        <v>4</v>
      </c>
      <c r="M3" s="13" t="s">
        <v>26</v>
      </c>
    </row>
    <row r="4" spans="1:13">
      <c r="A4">
        <v>3</v>
      </c>
      <c r="B4" s="14">
        <v>46122.5781712963</v>
      </c>
      <c r="C4" s="14">
        <v>46122.580925925897</v>
      </c>
      <c r="D4" s="13" t="s">
        <v>13</v>
      </c>
      <c r="E4" s="14">
        <f t="shared" si="0"/>
        <v>2.75462959689321E-3</v>
      </c>
      <c r="F4" s="13" t="s">
        <v>14</v>
      </c>
      <c r="G4" t="s">
        <v>27</v>
      </c>
      <c r="H4" t="s">
        <v>28</v>
      </c>
      <c r="I4" t="s">
        <v>24</v>
      </c>
      <c r="J4" t="s">
        <v>18</v>
      </c>
      <c r="K4" t="s">
        <v>29</v>
      </c>
      <c r="L4">
        <v>3</v>
      </c>
      <c r="M4" s="13" t="s">
        <v>30</v>
      </c>
    </row>
    <row r="5" spans="1:13">
      <c r="A5">
        <v>4</v>
      </c>
      <c r="B5" s="14">
        <v>46122.622638888897</v>
      </c>
      <c r="C5" s="14">
        <v>46122.623136574097</v>
      </c>
      <c r="D5" s="13" t="s">
        <v>13</v>
      </c>
      <c r="E5" s="14">
        <f t="shared" si="0"/>
        <v>4.9768519966164604E-4</v>
      </c>
      <c r="F5" s="13" t="s">
        <v>14</v>
      </c>
      <c r="G5" t="s">
        <v>22</v>
      </c>
      <c r="H5" t="s">
        <v>31</v>
      </c>
      <c r="I5" t="s">
        <v>24</v>
      </c>
      <c r="J5" t="s">
        <v>25</v>
      </c>
      <c r="K5" t="s">
        <v>32</v>
      </c>
      <c r="L5">
        <v>4</v>
      </c>
      <c r="M5" s="13" t="s">
        <v>26</v>
      </c>
    </row>
    <row r="6" spans="1:13" ht="15">
      <c r="A6">
        <v>5</v>
      </c>
      <c r="B6" s="14">
        <v>46122.861990740697</v>
      </c>
      <c r="C6" s="14">
        <v>46122.862974536998</v>
      </c>
      <c r="D6" s="13" t="s">
        <v>13</v>
      </c>
      <c r="E6" s="14">
        <f t="shared" si="0"/>
        <v>9.8379630071576685E-4</v>
      </c>
      <c r="F6" s="13" t="s">
        <v>21</v>
      </c>
      <c r="G6" t="s">
        <v>33</v>
      </c>
      <c r="H6" t="s">
        <v>34</v>
      </c>
      <c r="I6" t="s">
        <v>24</v>
      </c>
      <c r="J6" t="s">
        <v>18</v>
      </c>
      <c r="K6" t="s">
        <v>32</v>
      </c>
      <c r="L6">
        <v>4</v>
      </c>
      <c r="M6" s="13" t="s">
        <v>30</v>
      </c>
    </row>
    <row r="7" spans="1:13" ht="15">
      <c r="B7" s="14"/>
      <c r="D7" s="13"/>
      <c r="E7" s="14">
        <f>AVERAGE(E2:E6)</f>
        <v>1.3425926183117554E-3</v>
      </c>
      <c r="M7" s="13"/>
    </row>
    <row r="8" spans="1:13" ht="15">
      <c r="E8" t="s">
        <v>35</v>
      </c>
      <c r="F8" s="15">
        <f>COUNTIF(F2:F6,"Monthly")</f>
        <v>3</v>
      </c>
    </row>
    <row r="9" spans="1:13" ht="15">
      <c r="E9" t="s">
        <v>36</v>
      </c>
      <c r="F9">
        <f>COUNTIF(F2:F6,"Seasonal")</f>
        <v>2</v>
      </c>
    </row>
    <row r="10" spans="1:13" ht="15">
      <c r="E10" t="s">
        <v>37</v>
      </c>
      <c r="F10" s="13">
        <f>COUNTIF(F2:F6,"Monthly") + COUNTIF(F2:F6,"Seasonal")</f>
        <v>5</v>
      </c>
    </row>
    <row r="11" spans="1:13" ht="1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6B20-CF41-431D-B150-7405078CA7A7}">
  <dimension ref="A2:B5"/>
  <sheetViews>
    <sheetView workbookViewId="0">
      <selection activeCell="D7" sqref="D7"/>
    </sheetView>
  </sheetViews>
  <sheetFormatPr defaultRowHeight="15"/>
  <cols>
    <col min="1" max="1" width="34.5703125" bestFit="1" customWidth="1"/>
    <col min="2" max="2" width="39.7109375" bestFit="1" customWidth="1"/>
  </cols>
  <sheetData>
    <row r="2" spans="1:2">
      <c r="A2" s="16" t="s">
        <v>5</v>
      </c>
      <c r="B2" t="s">
        <v>38</v>
      </c>
    </row>
    <row r="3" spans="1:2">
      <c r="A3" t="s">
        <v>14</v>
      </c>
      <c r="B3">
        <v>3</v>
      </c>
    </row>
    <row r="4" spans="1:2">
      <c r="A4" t="s">
        <v>21</v>
      </c>
      <c r="B4">
        <v>2</v>
      </c>
    </row>
    <row r="5" spans="1:2">
      <c r="A5" t="s">
        <v>39</v>
      </c>
      <c r="B5">
        <v>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0247-9C28-45BF-A227-60B2F2F5BFA5}">
  <dimension ref="A1:C36"/>
  <sheetViews>
    <sheetView workbookViewId="0"/>
  </sheetViews>
  <sheetFormatPr defaultRowHeight="14.65"/>
  <cols>
    <col min="1" max="4" width="44.85546875" customWidth="1"/>
  </cols>
  <sheetData>
    <row r="1" spans="1:3" ht="75" customHeight="1">
      <c r="A1" s="1" t="s">
        <v>40</v>
      </c>
      <c r="B1" s="1" t="s">
        <v>41</v>
      </c>
    </row>
    <row r="2" spans="1:3" ht="75" customHeight="1">
      <c r="A2" s="3" t="e">
        <f>(COUNTIF(#REF!, "4") + COUNTIF(#REF!, "5")) / COUNTIF(#REF!, "&lt;&gt;")</f>
        <v>#REF!</v>
      </c>
      <c r="B2" s="2">
        <f>COUNTIF(OfficeForms.Table[Id], "&lt;&gt;")</f>
        <v>5</v>
      </c>
    </row>
    <row r="4" spans="1:3" ht="39.950000000000003" customHeight="1">
      <c r="A4" s="17" t="s">
        <v>42</v>
      </c>
      <c r="B4" s="17"/>
      <c r="C4" s="17"/>
    </row>
    <row r="5" spans="1:3" ht="30" customHeight="1">
      <c r="A5" s="4" t="s">
        <v>43</v>
      </c>
      <c r="B5" s="4" t="s">
        <v>40</v>
      </c>
      <c r="C5" s="4" t="s">
        <v>41</v>
      </c>
    </row>
    <row r="6" spans="1:3">
      <c r="A6" s="5" t="str" cm="1">
        <f t="array" ref="A6:A7">_xlfn.UNIQUE(_xlfn._xlws.FILTER(OfficeForms.Table[How often do you visit Starbucks?], OfficeForms.Table[How often do you visit Starbucks?]&lt;&gt;"" ))</f>
        <v>Monthly</v>
      </c>
      <c r="B6" s="6" t="e" cm="1">
        <f t="array" ref="B6:B7">_xlfn.MAKEARRAY(ROWS(_xlfn.UNIQUE(_xlfn._xlws.FILTER(OfficeForms.Table[How often do you visit Starbucks?], OfficeForms.Table[How often do you visit Starbucks?]&lt;&gt;"" ))), 1, _xlfn.LAMBDA(_xlpm.r,_xlpm.c, (COUNTIFS(OfficeForms.Table[How often do you visit Starbucks?], INDEX(_xlfn.UNIQUE(_xlfn._xlws.FILTER(OfficeForms.Table[How often do you visit Starbucks?], OfficeForms.Table[How often do you visit Starbucks?]&lt;&gt;"" )), _xlpm.r, 1),#REF!, "4") + COUNTIFS(OfficeForms.Table[How often do you visit Starbucks?], INDEX(_xlfn.UNIQUE(_xlfn._xlws.FILTER(OfficeForms.Table[How often do you visit Starbucks?], OfficeForms.Table[How often do you visit Starbucks?]&lt;&gt;"" )), _xlpm.r, 1),#REF!, "5")) / COUNTIF(OfficeForms.Table[How often do you visit Starbucks?], INDEX(_xlfn.UNIQUE(_xlfn._xlws.FILTER(OfficeForms.Table[How often do you visit Starbucks?], OfficeForms.Table[How often do you visit Starbucks?]&lt;&gt;"" )), _xlpm.r, 1))))</f>
        <v>#REF!</v>
      </c>
      <c r="C6" s="5" cm="1">
        <f t="array" ref="C6:C7">_xlfn.MAKEARRAY(ROWS(_xlfn.UNIQUE(_xlfn._xlws.FILTER(OfficeForms.Table[How often do you visit Starbucks?], OfficeForms.Table[How often do you visit Starbucks?]&lt;&gt;"" ))), 1, _xlfn.LAMBDA(_xlpm.r,_xlpm.c, COUNTIF(OfficeForms.Table[How often do you visit Starbucks?], INDEX(_xlfn.UNIQUE(_xlfn._xlws.FILTER(OfficeForms.Table[How often do you visit Starbucks?], OfficeForms.Table[How often do you visit Starbucks?]&lt;&gt;"" )), _xlpm.r, 1))))</f>
        <v>3</v>
      </c>
    </row>
    <row r="7" spans="1:3">
      <c r="A7" t="str">
        <v>Seasonal</v>
      </c>
      <c r="B7" s="7" t="e">
        <v>#REF!</v>
      </c>
      <c r="C7">
        <v>2</v>
      </c>
    </row>
    <row r="8" spans="1:3">
      <c r="B8" s="7"/>
    </row>
    <row r="11" spans="1:3" ht="39.950000000000003" customHeight="1">
      <c r="A11" s="18" t="s">
        <v>44</v>
      </c>
      <c r="B11" s="18"/>
      <c r="C11" s="18"/>
    </row>
    <row r="12" spans="1:3" ht="30" customHeight="1">
      <c r="A12" s="8" t="s">
        <v>45</v>
      </c>
      <c r="B12" s="8" t="s">
        <v>40</v>
      </c>
      <c r="C12" s="8" t="s">
        <v>41</v>
      </c>
    </row>
    <row r="13" spans="1:3">
      <c r="A13" s="5" t="str" cm="1">
        <f t="array" ref="A13:A15">_xlfn.UNIQUE(_xlfn._xlws.FILTER(OfficeForms.Table[How satisfied were you with your most recent Starbucks visit? ], OfficeForms.Table[How satisfied were you with your most recent Starbucks visit? ]&lt;&gt;"" ))</f>
        <v>Very satisfied</v>
      </c>
      <c r="B13" s="6" t="e" cm="1">
        <f t="array" ref="B13:B15">_xlfn.MAKEARRAY(ROWS(_xlfn.UNIQUE(_xlfn._xlws.FILTER(OfficeForms.Table[How satisfied were you with your most recent Starbucks visit? ], OfficeForms.Table[How satisfied were you with your most recent Starbucks visit? ]&lt;&gt;"" ))), 1, _xlfn.LAMBDA(_xlpm.r,_xlpm.c, (COUNTIFS(OfficeForms.Table[How satisfied were you with your most recent Starbucks visit? ], INDEX(_xlfn.UNIQUE(_xlfn._xlws.FILTER(OfficeForms.Table[How satisfied were you with your most recent Starbucks visit? ], OfficeForms.Table[How satisfied were you with your most recent Starbucks visit? ]&lt;&gt;"" )), _xlpm.r, 1),#REF!, "4") + COUNTIFS(OfficeForms.Table[How satisfied were you with your most recent Starbucks visit? ], INDEX(_xlfn.UNIQUE(_xlfn._xlws.FILTER(OfficeForms.Table[How satisfied were you with your most recent Starbucks visit? ], OfficeForms.Table[How satisfied were you with your most recent Starbucks visit? ]&lt;&gt;"" )), _xlpm.r, 1),#REF!, "5")) / COUNTIF(OfficeForms.Table[How satisfied were you with your most recent Starbucks visit? ], INDEX(_xlfn.UNIQUE(_xlfn._xlws.FILTER(OfficeForms.Table[How satisfied were you with your most recent Starbucks visit? ], OfficeForms.Table[How satisfied were you with your most recent Starbucks visit? ]&lt;&gt;"" )), _xlpm.r, 1))))</f>
        <v>#REF!</v>
      </c>
      <c r="C13" s="5" cm="1">
        <f t="array" ref="C13:C15">_xlfn.MAKEARRAY(ROWS(_xlfn.UNIQUE(_xlfn._xlws.FILTER(OfficeForms.Table[How satisfied were you with your most recent Starbucks visit? ], OfficeForms.Table[How satisfied were you with your most recent Starbucks visit? ]&lt;&gt;"" ))), 1, _xlfn.LAMBDA(_xlpm.r,_xlpm.c, COUNTIF(OfficeForms.Table[How satisfied were you with your most recent Starbucks visit? ], INDEX(_xlfn.UNIQUE(_xlfn._xlws.FILTER(OfficeForms.Table[How satisfied were you with your most recent Starbucks visit? ], OfficeForms.Table[How satisfied were you with your most recent Starbucks visit? ]&lt;&gt;"" )), _xlpm.r, 1))))</f>
        <v>1</v>
      </c>
    </row>
    <row r="14" spans="1:3">
      <c r="A14" t="str">
        <v>Somewhat satisfied</v>
      </c>
      <c r="B14" s="7" t="e">
        <v>#REF!</v>
      </c>
      <c r="C14">
        <v>2</v>
      </c>
    </row>
    <row r="15" spans="1:3">
      <c r="A15" t="str">
        <v>Neither satisfied nor dissatisfied</v>
      </c>
      <c r="B15" s="7" t="e">
        <v>#REF!</v>
      </c>
      <c r="C15">
        <v>2</v>
      </c>
    </row>
    <row r="18" spans="1:2" ht="39.950000000000003" customHeight="1">
      <c r="A18" s="19" t="s">
        <v>46</v>
      </c>
      <c r="B18" s="19"/>
    </row>
    <row r="19" spans="1:2" ht="30" customHeight="1">
      <c r="A19" s="9" t="s">
        <v>47</v>
      </c>
      <c r="B19" s="9" t="s">
        <v>48</v>
      </c>
    </row>
    <row r="20" spans="1:2">
      <c r="A20" s="5" t="s">
        <v>49</v>
      </c>
      <c r="B20" s="6" t="e">
        <f>(COUNTIF(#REF!, "Excellent") + COUNTIF(#REF!, "Good")) / COUNTIF(#REF!, "&lt;&gt;")</f>
        <v>#REF!</v>
      </c>
    </row>
    <row r="21" spans="1:2">
      <c r="A21" s="5" t="s">
        <v>50</v>
      </c>
      <c r="B21" s="6" t="e">
        <f>(COUNTIF(#REF!, "Excellent") + COUNTIF(#REF!, "Good")) / COUNTIF(#REF!, "&lt;&gt;")</f>
        <v>#REF!</v>
      </c>
    </row>
    <row r="22" spans="1:2">
      <c r="A22" s="5" t="s">
        <v>51</v>
      </c>
      <c r="B22" s="6" t="e">
        <f>(COUNTIF(#REF!, "Excellent") + COUNTIF(#REF!, "Good")) / COUNTIF(#REF!, "&lt;&gt;")</f>
        <v>#REF!</v>
      </c>
    </row>
    <row r="25" spans="1:2" ht="39.950000000000003" customHeight="1">
      <c r="A25" s="20" t="s">
        <v>52</v>
      </c>
      <c r="B25" s="20"/>
    </row>
    <row r="26" spans="1:2" ht="30" customHeight="1">
      <c r="A26" s="10" t="s">
        <v>47</v>
      </c>
      <c r="B26" s="10" t="s">
        <v>48</v>
      </c>
    </row>
    <row r="27" spans="1:2">
      <c r="A27" s="5" t="s">
        <v>53</v>
      </c>
      <c r="B27" s="6" t="e">
        <f>(COUNTIF(#REF!, "Very Easy") + COUNTIF(#REF!, "Easy")) / COUNTIF(#REF!, "&lt;&gt;")</f>
        <v>#REF!</v>
      </c>
    </row>
    <row r="28" spans="1:2">
      <c r="A28" s="5" t="s">
        <v>54</v>
      </c>
      <c r="B28" s="6" t="e">
        <f>(COUNTIF(#REF!, "Very Easy") + COUNTIF(#REF!, "Easy")) / COUNTIF(#REF!, "&lt;&gt;")</f>
        <v>#REF!</v>
      </c>
    </row>
    <row r="29" spans="1:2">
      <c r="A29" s="5" t="s">
        <v>55</v>
      </c>
      <c r="B29" s="6" t="e">
        <f>(COUNTIF(#REF!, "Very Easy") + COUNTIF(#REF!, "Easy")) / COUNTIF(#REF!, "&lt;&gt;")</f>
        <v>#REF!</v>
      </c>
    </row>
    <row r="32" spans="1:2" ht="39.950000000000003" customHeight="1">
      <c r="A32" s="21" t="s">
        <v>56</v>
      </c>
      <c r="B32" s="21"/>
    </row>
    <row r="33" spans="1:2" ht="30" customHeight="1">
      <c r="A33" s="11" t="s">
        <v>47</v>
      </c>
      <c r="B33" s="11" t="s">
        <v>48</v>
      </c>
    </row>
    <row r="34" spans="1:2">
      <c r="A34" s="5" t="s">
        <v>57</v>
      </c>
      <c r="B34" s="6" t="e">
        <f>(COUNTIF(#REF!, "Excellent") + COUNTIF(#REF!, "Good")) / COUNTIF(#REF!, "&lt;&gt;")</f>
        <v>#REF!</v>
      </c>
    </row>
    <row r="35" spans="1:2">
      <c r="A35" s="5" t="s">
        <v>58</v>
      </c>
      <c r="B35" s="6" t="e">
        <f>(COUNTIF(#REF!, "Excellent") + COUNTIF(#REF!, "Good")) / COUNTIF(#REF!, "&lt;&gt;")</f>
        <v>#REF!</v>
      </c>
    </row>
    <row r="36" spans="1:2">
      <c r="A36" s="5" t="s">
        <v>59</v>
      </c>
      <c r="B36" s="6" t="e">
        <f>(COUNTIF(#REF!, "Excellent") + COUNTIF(#REF!, "Good")) / COUNTIF(#REF!, "&lt;&gt;")</f>
        <v>#REF!</v>
      </c>
    </row>
  </sheetData>
  <mergeCells count="5">
    <mergeCell ref="A4:C4"/>
    <mergeCell ref="A11:C11"/>
    <mergeCell ref="A18:B18"/>
    <mergeCell ref="A25:B25"/>
    <mergeCell ref="A32:B3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3CE4-75E9-4742-A37A-FA729E6F6328}">
  <dimension ref="A1:B6"/>
  <sheetViews>
    <sheetView workbookViewId="0"/>
  </sheetViews>
  <sheetFormatPr defaultRowHeight="14.65"/>
  <cols>
    <col min="1" max="1" width="2.85546875" bestFit="1" customWidth="1"/>
    <col min="2" max="2" width="45.7109375" bestFit="1" customWidth="1"/>
  </cols>
  <sheetData>
    <row r="1" spans="1:2">
      <c r="A1" s="12" t="s">
        <v>0</v>
      </c>
      <c r="B1" s="12" t="s">
        <v>60</v>
      </c>
    </row>
    <row r="2" spans="1:2">
      <c r="A2" s="5" cm="1">
        <f t="array" ref="A2:A6">IF(ISBLANK(OfficeForms.Table[Id]), "", OfficeForms.Table[Id])</f>
        <v>1</v>
      </c>
      <c r="B2" s="5" t="e" cm="1">
        <f t="array" ref="B2" xml:space="preserve"> IF(ISBLANK(#REF!), "",#REF!)</f>
        <v>#REF!</v>
      </c>
    </row>
    <row r="3" spans="1:2">
      <c r="A3">
        <v>2</v>
      </c>
    </row>
    <row r="4" spans="1:2">
      <c r="A4">
        <v>3</v>
      </c>
    </row>
    <row r="5" spans="1:2">
      <c r="A5">
        <v>4</v>
      </c>
    </row>
    <row r="6" spans="1:2">
      <c r="A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C6C4-8FDA-43CD-8F27-68F611F9B12F}">
  <dimension ref="A1:B6"/>
  <sheetViews>
    <sheetView workbookViewId="0"/>
  </sheetViews>
  <sheetFormatPr defaultRowHeight="14.65"/>
  <cols>
    <col min="1" max="1" width="2.85546875" bestFit="1" customWidth="1"/>
    <col min="2" max="2" width="40.140625" bestFit="1" customWidth="1"/>
  </cols>
  <sheetData>
    <row r="1" spans="1:2">
      <c r="A1" s="12" t="s">
        <v>0</v>
      </c>
      <c r="B1" s="12" t="s">
        <v>61</v>
      </c>
    </row>
    <row r="2" spans="1:2">
      <c r="A2" s="5" cm="1">
        <f t="array" ref="A2:A6">IF(ISBLANK(OfficeForms.Table[Id]), "", OfficeForms.Table[Id])</f>
        <v>1</v>
      </c>
      <c r="B2" s="5" t="e" cm="1">
        <f t="array" ref="B2" xml:space="preserve"> IF(ISBLANK(#REF!), "",#REF!)</f>
        <v>#REF!</v>
      </c>
    </row>
    <row r="3" spans="1:2">
      <c r="A3">
        <v>2</v>
      </c>
    </row>
    <row r="4" spans="1:2">
      <c r="A4">
        <v>3</v>
      </c>
    </row>
    <row r="5" spans="1:2">
      <c r="A5">
        <v>4</v>
      </c>
    </row>
    <row r="6" spans="1:2">
      <c r="A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18F7-1936-45EA-A61A-D9FB12DAAC55}">
  <dimension ref="A1:B6"/>
  <sheetViews>
    <sheetView workbookViewId="0"/>
  </sheetViews>
  <sheetFormatPr defaultRowHeight="14.65"/>
  <cols>
    <col min="1" max="1" width="2.85546875" bestFit="1" customWidth="1"/>
    <col min="2" max="2" width="46.140625" bestFit="1" customWidth="1"/>
  </cols>
  <sheetData>
    <row r="1" spans="1:2">
      <c r="A1" s="12" t="s">
        <v>0</v>
      </c>
      <c r="B1" s="12" t="s">
        <v>62</v>
      </c>
    </row>
    <row r="2" spans="1:2">
      <c r="A2" s="5" cm="1">
        <f t="array" ref="A2:A6">IF(ISBLANK(OfficeForms.Table[Id]), "", OfficeForms.Table[Id])</f>
        <v>1</v>
      </c>
      <c r="B2" s="5" t="e" cm="1">
        <f t="array" ref="B2" xml:space="preserve"> IF(ISBLANK(#REF!), "",#REF!)</f>
        <v>#REF!</v>
      </c>
    </row>
    <row r="3" spans="1:2">
      <c r="A3">
        <v>2</v>
      </c>
    </row>
    <row r="4" spans="1:2">
      <c r="A4">
        <v>3</v>
      </c>
    </row>
    <row r="5" spans="1:2">
      <c r="A5">
        <v>4</v>
      </c>
    </row>
    <row r="6" spans="1:2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2026-04-10T18:16:55Z</dcterms:created>
  <dcterms:modified xsi:type="dcterms:W3CDTF">2026-04-13T00:38:35Z</dcterms:modified>
  <cp:category/>
  <cp:contentStatus/>
</cp:coreProperties>
</file>